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 Poudel\Documents\"/>
    </mc:Choice>
  </mc:AlternateContent>
  <xr:revisionPtr revIDLastSave="0" documentId="13_ncr:1_{68218EF4-6078-4ACF-BC83-B7C43312B711}" xr6:coauthVersionLast="46" xr6:coauthVersionMax="46" xr10:uidLastSave="{00000000-0000-0000-0000-000000000000}"/>
  <bookViews>
    <workbookView xWindow="-120" yWindow="-120" windowWidth="20730" windowHeight="11160" activeTab="1" xr2:uid="{9AD9AFBA-BDB7-4DF3-A88C-594B643816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L8" i="2"/>
  <c r="L9" i="2"/>
  <c r="L10" i="2"/>
  <c r="L11" i="2"/>
  <c r="L12" i="2"/>
  <c r="L13" i="2"/>
  <c r="L14" i="2"/>
  <c r="L15" i="2"/>
  <c r="L7" i="2"/>
  <c r="K8" i="2"/>
  <c r="K9" i="2"/>
  <c r="K10" i="2"/>
  <c r="K11" i="2"/>
  <c r="K12" i="2"/>
  <c r="K13" i="2"/>
  <c r="K14" i="2"/>
  <c r="K7" i="2"/>
  <c r="J15" i="2"/>
  <c r="J8" i="2"/>
  <c r="J9" i="2"/>
  <c r="J10" i="2"/>
  <c r="J11" i="2"/>
  <c r="J12" i="2"/>
  <c r="J13" i="2"/>
  <c r="J14" i="2"/>
  <c r="J7" i="2"/>
  <c r="H15" i="2"/>
  <c r="I9" i="2" s="1"/>
  <c r="H8" i="2"/>
  <c r="H9" i="2"/>
  <c r="H10" i="2"/>
  <c r="H11" i="2"/>
  <c r="H12" i="2"/>
  <c r="H13" i="2"/>
  <c r="H14" i="2"/>
  <c r="H7" i="2"/>
  <c r="M11" i="2"/>
  <c r="F15" i="2"/>
  <c r="E15" i="2"/>
  <c r="D15" i="2"/>
  <c r="C15" i="2"/>
  <c r="B15" i="2"/>
  <c r="M14" i="2"/>
  <c r="M13" i="2"/>
  <c r="M12" i="2"/>
  <c r="M10" i="2"/>
  <c r="M9" i="2"/>
  <c r="M8" i="2"/>
  <c r="M7" i="2"/>
  <c r="L8" i="1"/>
  <c r="L9" i="1"/>
  <c r="L10" i="1"/>
  <c r="L11" i="1"/>
  <c r="L12" i="1"/>
  <c r="L13" i="1"/>
  <c r="L7" i="1"/>
  <c r="J14" i="1"/>
  <c r="H14" i="1"/>
  <c r="I14" i="1"/>
  <c r="K14" i="1"/>
  <c r="G14" i="1"/>
  <c r="L14" i="1" s="1"/>
  <c r="N8" i="1"/>
  <c r="N9" i="1"/>
  <c r="N10" i="1"/>
  <c r="N11" i="1"/>
  <c r="N12" i="1"/>
  <c r="N13" i="1"/>
  <c r="N7" i="1"/>
  <c r="Q8" i="1"/>
  <c r="Q9" i="1"/>
  <c r="Q10" i="1"/>
  <c r="Q11" i="1"/>
  <c r="Q12" i="1"/>
  <c r="Q13" i="1"/>
  <c r="Q7" i="1"/>
  <c r="P9" i="1"/>
  <c r="P10" i="1"/>
  <c r="P11" i="1"/>
  <c r="P12" i="1"/>
  <c r="P13" i="1"/>
  <c r="P8" i="1"/>
  <c r="P7" i="1"/>
  <c r="O9" i="1"/>
  <c r="O10" i="1"/>
  <c r="O11" i="1"/>
  <c r="O12" i="1"/>
  <c r="O13" i="1"/>
  <c r="O8" i="1"/>
  <c r="O7" i="1"/>
  <c r="I8" i="2" l="1"/>
  <c r="I7" i="2"/>
  <c r="I12" i="2"/>
  <c r="I15" i="2"/>
  <c r="I11" i="2"/>
  <c r="I14" i="2"/>
  <c r="I10" i="2"/>
  <c r="I13" i="2"/>
  <c r="K15" i="2"/>
  <c r="N14" i="1"/>
  <c r="M7" i="1"/>
  <c r="P14" i="1"/>
  <c r="O14" i="1"/>
  <c r="M8" i="1"/>
  <c r="M13" i="1" l="1"/>
  <c r="M11" i="1"/>
  <c r="M10" i="1"/>
  <c r="M9" i="1"/>
  <c r="M12" i="1"/>
  <c r="M14" i="1" l="1"/>
</calcChain>
</file>

<file path=xl/sharedStrings.xml><?xml version="1.0" encoding="utf-8"?>
<sst xmlns="http://schemas.openxmlformats.org/spreadsheetml/2006/main" count="33" uniqueCount="16">
  <si>
    <r>
      <t xml:space="preserve">Monthly </t>
    </r>
    <r>
      <rPr>
        <b/>
        <sz val="11"/>
        <color theme="1"/>
        <rFont val="Calibri"/>
        <family val="2"/>
        <scheme val="minor"/>
      </rPr>
      <t>Budget</t>
    </r>
  </si>
  <si>
    <t>Rents</t>
  </si>
  <si>
    <t>Phone</t>
  </si>
  <si>
    <t>Groceries</t>
  </si>
  <si>
    <t>Medicine</t>
  </si>
  <si>
    <t>Gas</t>
  </si>
  <si>
    <t>Water</t>
  </si>
  <si>
    <t>Khaja</t>
  </si>
  <si>
    <t>Total</t>
  </si>
  <si>
    <t>Bills/Mon</t>
  </si>
  <si>
    <t>Per.</t>
  </si>
  <si>
    <t>Average</t>
  </si>
  <si>
    <t>Minimum</t>
  </si>
  <si>
    <t>Maximum</t>
  </si>
  <si>
    <t>count</t>
  </si>
  <si>
    <t>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</si>
</sst>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5" borderId="0" xfId="0" applyFill="1"/>
    <xf numFmtId="17" fontId="0" fillId="4" borderId="0" xfId="0" applyNumberFormat="1" applyFill="1" applyAlignment="1">
      <alignment horizontal="center"/>
    </xf>
    <xf numFmtId="164" fontId="0" fillId="0" borderId="0" xfId="0" applyNumberFormat="1"/>
    <xf numFmtId="0" fontId="0" fillId="7" borderId="0" xfId="0" applyFill="1"/>
    <xf numFmtId="0" fontId="0" fillId="2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3C89-1EDF-4955-A172-F70014269F18}">
  <dimension ref="F4:Q16"/>
  <sheetViews>
    <sheetView zoomScale="87" zoomScaleNormal="87" workbookViewId="0">
      <selection activeCell="F4" sqref="F4:Q14"/>
    </sheetView>
  </sheetViews>
  <sheetFormatPr defaultRowHeight="15" x14ac:dyDescent="0.25"/>
  <sheetData>
    <row r="4" spans="6:17" x14ac:dyDescent="0.25">
      <c r="F4" t="s">
        <v>0</v>
      </c>
    </row>
    <row r="6" spans="6:17" x14ac:dyDescent="0.25">
      <c r="F6" s="2" t="s">
        <v>9</v>
      </c>
      <c r="G6" s="6">
        <v>44287</v>
      </c>
      <c r="H6" s="6">
        <v>44317</v>
      </c>
      <c r="I6" s="6">
        <v>44348</v>
      </c>
      <c r="J6" s="6">
        <v>44378</v>
      </c>
      <c r="K6" s="6">
        <v>44409</v>
      </c>
      <c r="L6" s="3" t="s">
        <v>8</v>
      </c>
      <c r="M6" s="8" t="s">
        <v>10</v>
      </c>
      <c r="N6" s="10" t="s">
        <v>11</v>
      </c>
      <c r="O6" t="s">
        <v>12</v>
      </c>
      <c r="P6" t="s">
        <v>13</v>
      </c>
      <c r="Q6" t="s">
        <v>14</v>
      </c>
    </row>
    <row r="7" spans="6:17" x14ac:dyDescent="0.25">
      <c r="F7" s="4" t="s">
        <v>1</v>
      </c>
      <c r="G7" s="1">
        <v>2000</v>
      </c>
      <c r="H7" s="1">
        <v>2000</v>
      </c>
      <c r="I7" s="1">
        <v>2000</v>
      </c>
      <c r="J7" s="1">
        <v>2000</v>
      </c>
      <c r="K7" s="1">
        <v>2000</v>
      </c>
      <c r="L7" s="1">
        <f>SUM(G7:K7)</f>
        <v>10000</v>
      </c>
      <c r="M7">
        <f>L7/$L$14*100</f>
        <v>21.834061135371179</v>
      </c>
      <c r="N7" s="10">
        <f>AVERAGE(G7:K7)</f>
        <v>2000</v>
      </c>
      <c r="O7">
        <f>MIN(G7:K7)</f>
        <v>2000</v>
      </c>
      <c r="P7">
        <f>MAX(G7:K7)</f>
        <v>2000</v>
      </c>
      <c r="Q7">
        <f>COUNT($G$7:$G$13)</f>
        <v>7</v>
      </c>
    </row>
    <row r="8" spans="6:17" x14ac:dyDescent="0.25">
      <c r="F8" s="4" t="s">
        <v>2</v>
      </c>
      <c r="G8" s="1">
        <v>550</v>
      </c>
      <c r="H8" s="1">
        <v>250</v>
      </c>
      <c r="I8" s="1">
        <v>400</v>
      </c>
      <c r="J8" s="1">
        <v>450</v>
      </c>
      <c r="K8" s="1">
        <v>500</v>
      </c>
      <c r="L8" s="1">
        <f t="shared" ref="L8:L14" si="0">SUM(G8:K8)</f>
        <v>2150</v>
      </c>
      <c r="M8">
        <f>L8/$L$14*100</f>
        <v>4.6943231441048034</v>
      </c>
      <c r="N8" s="10">
        <f t="shared" ref="N8:N14" si="1">AVERAGE(G8:K8)</f>
        <v>430</v>
      </c>
      <c r="O8">
        <f>MIN(G8:K8)</f>
        <v>250</v>
      </c>
      <c r="P8">
        <f>MAX(G8:K8)</f>
        <v>550</v>
      </c>
      <c r="Q8">
        <f>COUNT($G$7:$G$13)</f>
        <v>7</v>
      </c>
    </row>
    <row r="9" spans="6:17" x14ac:dyDescent="0.25">
      <c r="F9" s="4" t="s">
        <v>3</v>
      </c>
      <c r="G9" s="1">
        <v>3800</v>
      </c>
      <c r="H9" s="1">
        <v>4000</v>
      </c>
      <c r="I9" s="1">
        <v>3800</v>
      </c>
      <c r="J9" s="1">
        <v>3500</v>
      </c>
      <c r="K9" s="1">
        <v>3600</v>
      </c>
      <c r="L9" s="1">
        <f t="shared" si="0"/>
        <v>18700</v>
      </c>
      <c r="M9">
        <f>L9/$L$14*100</f>
        <v>40.829694323144103</v>
      </c>
      <c r="N9" s="10">
        <f t="shared" si="1"/>
        <v>3740</v>
      </c>
      <c r="O9">
        <f t="shared" ref="O9:O14" si="2">MIN(G9:K9)</f>
        <v>3500</v>
      </c>
      <c r="P9">
        <f t="shared" ref="P9:P14" si="3">MAX(G9:K9)</f>
        <v>4000</v>
      </c>
      <c r="Q9">
        <f>COUNT($G$7:$G$13)</f>
        <v>7</v>
      </c>
    </row>
    <row r="10" spans="6:17" x14ac:dyDescent="0.25">
      <c r="F10" s="4" t="s">
        <v>4</v>
      </c>
      <c r="G10" s="1">
        <v>500</v>
      </c>
      <c r="H10" s="1">
        <v>250</v>
      </c>
      <c r="I10" s="1">
        <v>400</v>
      </c>
      <c r="J10" s="1">
        <v>500</v>
      </c>
      <c r="K10" s="1">
        <v>300</v>
      </c>
      <c r="L10" s="1">
        <f t="shared" si="0"/>
        <v>1950</v>
      </c>
      <c r="M10">
        <f>L10/$L$14*100</f>
        <v>4.2576419213973802</v>
      </c>
      <c r="N10" s="10">
        <f t="shared" si="1"/>
        <v>390</v>
      </c>
      <c r="O10">
        <f t="shared" si="2"/>
        <v>250</v>
      </c>
      <c r="P10">
        <f t="shared" si="3"/>
        <v>500</v>
      </c>
      <c r="Q10">
        <f>COUNT($G$7:$G$13)</f>
        <v>7</v>
      </c>
    </row>
    <row r="11" spans="6:17" x14ac:dyDescent="0.25">
      <c r="F11" s="4" t="s">
        <v>5</v>
      </c>
      <c r="G11" s="1">
        <v>1500</v>
      </c>
      <c r="H11" s="1">
        <v>0</v>
      </c>
      <c r="I11" s="1">
        <v>1500</v>
      </c>
      <c r="J11" s="1">
        <v>0</v>
      </c>
      <c r="K11" s="1">
        <v>1500</v>
      </c>
      <c r="L11" s="1">
        <f t="shared" si="0"/>
        <v>4500</v>
      </c>
      <c r="M11">
        <f>L11/$L$14*100</f>
        <v>9.8253275109170293</v>
      </c>
      <c r="N11" s="10">
        <f t="shared" si="1"/>
        <v>900</v>
      </c>
      <c r="O11">
        <f t="shared" si="2"/>
        <v>0</v>
      </c>
      <c r="P11">
        <f t="shared" si="3"/>
        <v>1500</v>
      </c>
      <c r="Q11">
        <f>COUNT($G$7:$G$13)</f>
        <v>7</v>
      </c>
    </row>
    <row r="12" spans="6:17" x14ac:dyDescent="0.25">
      <c r="F12" s="4" t="s">
        <v>6</v>
      </c>
      <c r="G12" s="1">
        <v>200</v>
      </c>
      <c r="H12" s="1">
        <v>200</v>
      </c>
      <c r="I12" s="1">
        <v>200</v>
      </c>
      <c r="J12" s="1">
        <v>200</v>
      </c>
      <c r="K12" s="1">
        <v>200</v>
      </c>
      <c r="L12" s="1">
        <f t="shared" si="0"/>
        <v>1000</v>
      </c>
      <c r="M12">
        <f>L12/$L$14*100</f>
        <v>2.1834061135371177</v>
      </c>
      <c r="N12" s="10">
        <f t="shared" si="1"/>
        <v>200</v>
      </c>
      <c r="O12">
        <f t="shared" si="2"/>
        <v>200</v>
      </c>
      <c r="P12">
        <f t="shared" si="3"/>
        <v>200</v>
      </c>
      <c r="Q12">
        <f>COUNT($G$7:$G$13)</f>
        <v>7</v>
      </c>
    </row>
    <row r="13" spans="6:17" x14ac:dyDescent="0.25">
      <c r="F13" s="4" t="s">
        <v>7</v>
      </c>
      <c r="G13" s="1">
        <v>1500</v>
      </c>
      <c r="H13" s="1">
        <v>1400</v>
      </c>
      <c r="I13" s="1">
        <v>1600</v>
      </c>
      <c r="J13" s="1">
        <v>1700</v>
      </c>
      <c r="K13" s="1">
        <v>1300</v>
      </c>
      <c r="L13" s="1">
        <f t="shared" si="0"/>
        <v>7500</v>
      </c>
      <c r="M13">
        <f>L13/$L$14*100</f>
        <v>16.375545851528383</v>
      </c>
      <c r="N13" s="10">
        <f t="shared" si="1"/>
        <v>1500</v>
      </c>
      <c r="O13">
        <f t="shared" si="2"/>
        <v>1300</v>
      </c>
      <c r="P13">
        <f t="shared" si="3"/>
        <v>1700</v>
      </c>
      <c r="Q13">
        <f>COUNT($G$7:$G$13)</f>
        <v>7</v>
      </c>
    </row>
    <row r="14" spans="6:17" x14ac:dyDescent="0.25">
      <c r="F14" s="5" t="s">
        <v>8</v>
      </c>
      <c r="G14" s="9">
        <f>SUM(G7:G13)</f>
        <v>10050</v>
      </c>
      <c r="H14" s="9">
        <f>SUM(H7:H13)</f>
        <v>8100</v>
      </c>
      <c r="I14" s="9">
        <f t="shared" ref="I14:M14" si="4">SUM(I7:I13)</f>
        <v>9900</v>
      </c>
      <c r="J14" s="9">
        <f t="shared" si="4"/>
        <v>8350</v>
      </c>
      <c r="K14" s="9">
        <f t="shared" si="4"/>
        <v>9400</v>
      </c>
      <c r="L14" s="1">
        <f t="shared" si="0"/>
        <v>45800</v>
      </c>
      <c r="M14" s="9">
        <f t="shared" si="4"/>
        <v>100</v>
      </c>
      <c r="N14" s="10">
        <f t="shared" si="1"/>
        <v>9160</v>
      </c>
      <c r="O14">
        <f t="shared" si="2"/>
        <v>8100</v>
      </c>
      <c r="P14">
        <f t="shared" si="3"/>
        <v>10050</v>
      </c>
    </row>
    <row r="16" spans="6:17" x14ac:dyDescent="0.25">
      <c r="F16" s="7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50F-1AE4-403B-A458-1FF3364B62E3}">
  <dimension ref="A4:M15"/>
  <sheetViews>
    <sheetView tabSelected="1" workbookViewId="0">
      <selection activeCell="G15" sqref="G15"/>
    </sheetView>
  </sheetViews>
  <sheetFormatPr defaultRowHeight="15" x14ac:dyDescent="0.25"/>
  <sheetData>
    <row r="4" spans="1:13" x14ac:dyDescent="0.25">
      <c r="A4" t="s">
        <v>0</v>
      </c>
    </row>
    <row r="6" spans="1:13" x14ac:dyDescent="0.25">
      <c r="A6" s="2" t="s">
        <v>9</v>
      </c>
      <c r="B6" s="6">
        <v>44287</v>
      </c>
      <c r="C6" s="6">
        <v>44317</v>
      </c>
      <c r="D6" s="6">
        <v>44348</v>
      </c>
      <c r="E6" s="6">
        <v>44378</v>
      </c>
      <c r="F6" s="6">
        <v>44409</v>
      </c>
      <c r="G6" s="6">
        <v>44440</v>
      </c>
      <c r="H6" s="3" t="s">
        <v>8</v>
      </c>
      <c r="I6" s="8" t="s">
        <v>10</v>
      </c>
      <c r="J6" s="10" t="s">
        <v>11</v>
      </c>
      <c r="K6" t="s">
        <v>12</v>
      </c>
      <c r="L6" t="s">
        <v>13</v>
      </c>
      <c r="M6" t="s">
        <v>14</v>
      </c>
    </row>
    <row r="7" spans="1:13" x14ac:dyDescent="0.25">
      <c r="A7" s="4" t="s">
        <v>1</v>
      </c>
      <c r="B7" s="1">
        <v>2000</v>
      </c>
      <c r="C7" s="1">
        <v>2000</v>
      </c>
      <c r="D7" s="1">
        <v>2000</v>
      </c>
      <c r="E7" s="1">
        <v>2000</v>
      </c>
      <c r="F7" s="1">
        <v>2000</v>
      </c>
      <c r="G7" s="1">
        <v>2000</v>
      </c>
      <c r="H7" s="1">
        <f>SUM(B7:G7)</f>
        <v>12000</v>
      </c>
      <c r="I7">
        <f>H7/$H$15</f>
        <v>0.21857923497267759</v>
      </c>
      <c r="J7" s="10">
        <f>AVERAGE(B7:G7)</f>
        <v>2000</v>
      </c>
      <c r="K7">
        <f>MIN(B7:G7)</f>
        <v>2000</v>
      </c>
      <c r="L7">
        <f>MAX(B7:G7)</f>
        <v>2000</v>
      </c>
      <c r="M7">
        <f>COUNT($E$7:$E$14)</f>
        <v>8</v>
      </c>
    </row>
    <row r="8" spans="1:13" x14ac:dyDescent="0.25">
      <c r="A8" s="4" t="s">
        <v>2</v>
      </c>
      <c r="B8" s="1">
        <v>550</v>
      </c>
      <c r="C8" s="1">
        <v>250</v>
      </c>
      <c r="D8" s="1">
        <v>400</v>
      </c>
      <c r="E8" s="1">
        <v>450</v>
      </c>
      <c r="F8" s="1">
        <v>500</v>
      </c>
      <c r="G8" s="1">
        <v>500</v>
      </c>
      <c r="H8" s="1">
        <f t="shared" ref="H8:H14" si="0">SUM(B8:G8)</f>
        <v>2650</v>
      </c>
      <c r="I8">
        <f t="shared" ref="I8:I15" si="1">H8/$H$15</f>
        <v>4.8269581056466303E-2</v>
      </c>
      <c r="J8" s="10">
        <f t="shared" ref="J8:J15" si="2">AVERAGE(B8:G8)</f>
        <v>441.66666666666669</v>
      </c>
      <c r="K8">
        <f t="shared" ref="K8:K14" si="3">MIN(B8:G8)</f>
        <v>250</v>
      </c>
      <c r="L8">
        <f t="shared" ref="L8:L15" si="4">MAX(B8:G8)</f>
        <v>550</v>
      </c>
      <c r="M8">
        <f>COUNT($E$7:$E$14)</f>
        <v>8</v>
      </c>
    </row>
    <row r="9" spans="1:13" x14ac:dyDescent="0.25">
      <c r="A9" s="4" t="s">
        <v>3</v>
      </c>
      <c r="B9" s="1">
        <v>3800</v>
      </c>
      <c r="C9" s="1">
        <v>4000</v>
      </c>
      <c r="D9" s="1">
        <v>3800</v>
      </c>
      <c r="E9" s="1">
        <v>3500</v>
      </c>
      <c r="F9" s="1">
        <v>3600</v>
      </c>
      <c r="G9" s="1">
        <v>3600</v>
      </c>
      <c r="H9" s="1">
        <f t="shared" si="0"/>
        <v>22300</v>
      </c>
      <c r="I9">
        <f t="shared" si="1"/>
        <v>0.40619307832422585</v>
      </c>
      <c r="J9" s="10">
        <f t="shared" si="2"/>
        <v>3716.6666666666665</v>
      </c>
      <c r="K9">
        <f t="shared" si="3"/>
        <v>3500</v>
      </c>
      <c r="L9">
        <f t="shared" si="4"/>
        <v>4000</v>
      </c>
      <c r="M9">
        <f>COUNT($E$7:$E$14)</f>
        <v>8</v>
      </c>
    </row>
    <row r="10" spans="1:13" x14ac:dyDescent="0.25">
      <c r="A10" s="4" t="s">
        <v>4</v>
      </c>
      <c r="B10" s="1">
        <v>500</v>
      </c>
      <c r="C10" s="1">
        <v>250</v>
      </c>
      <c r="D10" s="1">
        <v>400</v>
      </c>
      <c r="E10" s="1">
        <v>500</v>
      </c>
      <c r="F10" s="1">
        <v>300</v>
      </c>
      <c r="G10" s="1">
        <v>300</v>
      </c>
      <c r="H10" s="1">
        <f t="shared" si="0"/>
        <v>2250</v>
      </c>
      <c r="I10">
        <f t="shared" si="1"/>
        <v>4.0983606557377046E-2</v>
      </c>
      <c r="J10" s="10">
        <f t="shared" si="2"/>
        <v>375</v>
      </c>
      <c r="K10">
        <f t="shared" si="3"/>
        <v>250</v>
      </c>
      <c r="L10">
        <f t="shared" si="4"/>
        <v>500</v>
      </c>
      <c r="M10">
        <f>COUNT($E$7:$E$14)</f>
        <v>8</v>
      </c>
    </row>
    <row r="11" spans="1:13" x14ac:dyDescent="0.25">
      <c r="A11" s="4" t="s">
        <v>15</v>
      </c>
      <c r="B11" s="1">
        <v>200</v>
      </c>
      <c r="C11" s="1">
        <v>200</v>
      </c>
      <c r="D11" s="1">
        <v>200</v>
      </c>
      <c r="E11" s="1">
        <v>200</v>
      </c>
      <c r="F11" s="1">
        <v>200</v>
      </c>
      <c r="G11" s="1">
        <v>200</v>
      </c>
      <c r="H11" s="1">
        <f t="shared" si="0"/>
        <v>1200</v>
      </c>
      <c r="I11">
        <f t="shared" si="1"/>
        <v>2.185792349726776E-2</v>
      </c>
      <c r="J11" s="10">
        <f t="shared" si="2"/>
        <v>200</v>
      </c>
      <c r="K11">
        <f t="shared" si="3"/>
        <v>200</v>
      </c>
      <c r="L11">
        <f t="shared" si="4"/>
        <v>200</v>
      </c>
      <c r="M11">
        <f>COUNT($E$7:$E$14)</f>
        <v>8</v>
      </c>
    </row>
    <row r="12" spans="1:13" x14ac:dyDescent="0.25">
      <c r="A12" s="4" t="s">
        <v>5</v>
      </c>
      <c r="B12" s="1">
        <v>1500</v>
      </c>
      <c r="C12" s="1">
        <v>0</v>
      </c>
      <c r="D12" s="1">
        <v>1500</v>
      </c>
      <c r="E12" s="1">
        <v>0</v>
      </c>
      <c r="F12" s="1">
        <v>1500</v>
      </c>
      <c r="G12" s="1">
        <v>0</v>
      </c>
      <c r="H12" s="1">
        <f t="shared" si="0"/>
        <v>4500</v>
      </c>
      <c r="I12">
        <f t="shared" si="1"/>
        <v>8.1967213114754092E-2</v>
      </c>
      <c r="J12" s="10">
        <f t="shared" si="2"/>
        <v>750</v>
      </c>
      <c r="K12">
        <f t="shared" si="3"/>
        <v>0</v>
      </c>
      <c r="L12">
        <f t="shared" si="4"/>
        <v>1500</v>
      </c>
      <c r="M12">
        <f>COUNT($E$7:$E$14)</f>
        <v>8</v>
      </c>
    </row>
    <row r="13" spans="1:13" x14ac:dyDescent="0.25">
      <c r="A13" s="4" t="s">
        <v>6</v>
      </c>
      <c r="B13" s="1">
        <v>200</v>
      </c>
      <c r="C13" s="1">
        <v>200</v>
      </c>
      <c r="D13" s="1">
        <v>200</v>
      </c>
      <c r="E13" s="1">
        <v>200</v>
      </c>
      <c r="F13" s="1">
        <v>200</v>
      </c>
      <c r="G13" s="1">
        <v>200</v>
      </c>
      <c r="H13" s="1">
        <f t="shared" si="0"/>
        <v>1200</v>
      </c>
      <c r="I13">
        <f t="shared" si="1"/>
        <v>2.185792349726776E-2</v>
      </c>
      <c r="J13" s="10">
        <f t="shared" si="2"/>
        <v>200</v>
      </c>
      <c r="K13">
        <f t="shared" si="3"/>
        <v>200</v>
      </c>
      <c r="L13">
        <f t="shared" si="4"/>
        <v>200</v>
      </c>
      <c r="M13">
        <f>COUNT($E$7:$E$14)</f>
        <v>8</v>
      </c>
    </row>
    <row r="14" spans="1:13" x14ac:dyDescent="0.25">
      <c r="A14" s="4" t="s">
        <v>7</v>
      </c>
      <c r="B14" s="1">
        <v>1500</v>
      </c>
      <c r="C14" s="1">
        <v>1400</v>
      </c>
      <c r="D14" s="1">
        <v>1600</v>
      </c>
      <c r="E14" s="1">
        <v>1700</v>
      </c>
      <c r="F14" s="1">
        <v>1300</v>
      </c>
      <c r="G14" s="1">
        <v>1300</v>
      </c>
      <c r="H14" s="1">
        <f t="shared" si="0"/>
        <v>8800</v>
      </c>
      <c r="I14">
        <f t="shared" si="1"/>
        <v>0.16029143897996356</v>
      </c>
      <c r="J14" s="10">
        <f t="shared" si="2"/>
        <v>1466.6666666666667</v>
      </c>
      <c r="K14">
        <f t="shared" si="3"/>
        <v>1300</v>
      </c>
      <c r="L14">
        <f t="shared" si="4"/>
        <v>1700</v>
      </c>
      <c r="M14">
        <f>COUNT($E$7:$E$14)</f>
        <v>8</v>
      </c>
    </row>
    <row r="15" spans="1:13" x14ac:dyDescent="0.25">
      <c r="A15" s="5" t="s">
        <v>8</v>
      </c>
      <c r="B15" s="9">
        <f>SUM(B7:B14)</f>
        <v>10250</v>
      </c>
      <c r="C15" s="9">
        <f>SUM(C7:C14)</f>
        <v>8300</v>
      </c>
      <c r="D15" s="9">
        <f t="shared" ref="D15:I15" si="5">SUM(D7:D14)</f>
        <v>10100</v>
      </c>
      <c r="E15" s="9">
        <f t="shared" si="5"/>
        <v>8550</v>
      </c>
      <c r="F15" s="9">
        <f t="shared" si="5"/>
        <v>9600</v>
      </c>
      <c r="G15" s="9">
        <f>SUM(G7:G14)</f>
        <v>8100</v>
      </c>
      <c r="H15" s="1">
        <f>SUM(B15:G15)</f>
        <v>54900</v>
      </c>
      <c r="I15">
        <f t="shared" si="1"/>
        <v>1</v>
      </c>
      <c r="J15" s="10">
        <f>AVERAGE(B15:G15)</f>
        <v>9150</v>
      </c>
      <c r="K15">
        <f t="shared" ref="K9:K15" si="6">MIN(B15:F15)</f>
        <v>8300</v>
      </c>
      <c r="L15">
        <f t="shared" si="4"/>
        <v>10250</v>
      </c>
    </row>
  </sheetData>
  <pageMargins left="0.7" right="0.7" top="0.75" bottom="0.75" header="0.3" footer="0.3"/>
  <ignoredErrors>
    <ignoredError sqref="B15:G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Poudel</dc:creator>
  <cp:lastModifiedBy>Santosh Poudel</cp:lastModifiedBy>
  <cp:lastPrinted>2021-03-25T08:37:48Z</cp:lastPrinted>
  <dcterms:created xsi:type="dcterms:W3CDTF">2021-03-25T06:13:58Z</dcterms:created>
  <dcterms:modified xsi:type="dcterms:W3CDTF">2021-03-26T07:33:58Z</dcterms:modified>
</cp:coreProperties>
</file>